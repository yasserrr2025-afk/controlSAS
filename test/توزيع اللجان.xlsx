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\C\Desktop\المدرسة\"/>
    </mc:Choice>
  </mc:AlternateContent>
  <xr:revisionPtr revIDLastSave="0" documentId="13_ncr:1_{193DA9B9-9ADC-4A70-9C61-B13B5B55398B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ورقة1" sheetId="1" r:id="rId1"/>
    <sheet name="ورقة1 (2)" sheetId="5" r:id="rId2"/>
  </sheets>
  <definedNames>
    <definedName name="_xlnm.Print_Area" localSheetId="0">ورقة1!$A$2:$M$35</definedName>
    <definedName name="_xlnm.Print_Area" localSheetId="1">'ورقة1 (2)'!$A$2:$M$35</definedName>
    <definedName name="solver_adj" localSheetId="1" hidden="1">'ورقة1 (2)'!$G$12:$I$31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'ورقة1 (2)'!$D$14</definedName>
    <definedName name="solver_lhs2" localSheetId="1" hidden="1">'ورقة1 (2)'!$D$16</definedName>
    <definedName name="solver_lhs3" localSheetId="1" hidden="1">'ورقة1 (2)'!$D$18</definedName>
    <definedName name="solver_lhs4" localSheetId="1" hidden="1">'ورقة1 (2)'!$G$12:$I$31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4</definedName>
    <definedName name="solver_nwt" localSheetId="1" hidden="1">1</definedName>
    <definedName name="solver_opt" localSheetId="0" hidden="1">ورقة1!$M$19</definedName>
    <definedName name="solver_opt" localSheetId="1" hidden="1">'ورقة1 (2)'!$J$32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el4" localSheetId="1" hidden="1">4</definedName>
    <definedName name="solver_rhs1" localSheetId="1" hidden="1">'ورقة1 (2)'!$G$32</definedName>
    <definedName name="solver_rhs2" localSheetId="1" hidden="1">'ورقة1 (2)'!$H$32</definedName>
    <definedName name="solver_rhs3" localSheetId="1" hidden="1">'ورقة1 (2)'!$I$32</definedName>
    <definedName name="solver_rhs4" localSheetId="1" hidden="1">"integer"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3</definedName>
    <definedName name="solver_val" localSheetId="0" hidden="1">0</definedName>
    <definedName name="solver_val" localSheetId="1" hidden="1">599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5" l="1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I32" i="5"/>
  <c r="H32" i="5"/>
  <c r="G32" i="5"/>
  <c r="D20" i="5"/>
  <c r="O16" i="5"/>
  <c r="O15" i="5"/>
  <c r="O14" i="5"/>
  <c r="O16" i="1"/>
  <c r="O15" i="1"/>
  <c r="O14" i="1"/>
  <c r="G32" i="1"/>
  <c r="H32" i="1"/>
  <c r="J32" i="5" l="1"/>
  <c r="J32" i="1"/>
  <c r="I32" i="1"/>
  <c r="D20" i="1" s="1"/>
</calcChain>
</file>

<file path=xl/sharedStrings.xml><?xml version="1.0" encoding="utf-8"?>
<sst xmlns="http://schemas.openxmlformats.org/spreadsheetml/2006/main" count="50" uniqueCount="27">
  <si>
    <t>الأول متوسط</t>
  </si>
  <si>
    <t>الثاني متوسط</t>
  </si>
  <si>
    <t>الثالث متوسط</t>
  </si>
  <si>
    <t>المجموع</t>
  </si>
  <si>
    <t xml:space="preserve">اللجنة </t>
  </si>
  <si>
    <t xml:space="preserve">الثاني متوسط </t>
  </si>
  <si>
    <t>عدد الطلاب</t>
  </si>
  <si>
    <t xml:space="preserve">مقرها </t>
  </si>
  <si>
    <t xml:space="preserve">المجموع </t>
  </si>
  <si>
    <t>إحصائية المدرسة</t>
  </si>
  <si>
    <t>متوسط الطلاب</t>
  </si>
  <si>
    <t>1/1</t>
  </si>
  <si>
    <t>2/2</t>
  </si>
  <si>
    <t>3/3</t>
  </si>
  <si>
    <t>2/1</t>
  </si>
  <si>
    <t>2/3</t>
  </si>
  <si>
    <t>3/1</t>
  </si>
  <si>
    <t>3/2</t>
  </si>
  <si>
    <t>5/1</t>
  </si>
  <si>
    <t>6/1</t>
  </si>
  <si>
    <t>4/1</t>
  </si>
  <si>
    <t>2/7</t>
  </si>
  <si>
    <t>2/6</t>
  </si>
  <si>
    <t>2/5</t>
  </si>
  <si>
    <t>2/4</t>
  </si>
  <si>
    <t>3/5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</si>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</sst>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2"/>
      <color theme="1"/>
      <name val="Al OnWan"/>
      <charset val="178"/>
    </font>
    <font>
      <b/>
      <sz val="12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theme="1"/>
      <name val="Arial"/>
      <family val="2"/>
      <charset val="178"/>
      <scheme val="minor"/>
    </font>
    <font>
      <b/>
      <sz val="22"/>
      <color theme="1"/>
      <name val="Al OnWa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/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/>
    <xf numFmtId="0" fontId="5" fillId="0" borderId="13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7" fillId="0" borderId="6" xfId="0" applyFont="1" applyBorder="1"/>
    <xf numFmtId="0" fontId="7" fillId="0" borderId="0" xfId="0" applyFont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/>
    <xf numFmtId="0" fontId="7" fillId="0" borderId="2" xfId="0" applyFont="1" applyBorder="1"/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عادي" xfId="0" builtinId="0"/>
  </cellStyles>
  <dxfs count="30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/>
        <top style="double">
          <color auto="1"/>
        </top>
        <bottom style="double">
          <color auto="1"/>
        </bottom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/>
        <top style="double">
          <color auto="1"/>
        </top>
        <bottom style="double">
          <color auto="1"/>
        </bottom>
        <vertical/>
        <horizontal/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double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397668</xdr:colOff>
      <xdr:row>2</xdr:row>
      <xdr:rowOff>38101</xdr:rowOff>
    </xdr:from>
    <xdr:to>
      <xdr:col>8</xdr:col>
      <xdr:colOff>771525</xdr:colOff>
      <xdr:row>9</xdr:row>
      <xdr:rowOff>107157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11909647" y="389336"/>
          <a:ext cx="2802732" cy="1319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>
            <a:lnSpc>
              <a:spcPct val="200000"/>
            </a:lnSpc>
          </a:pPr>
          <a:r>
            <a:rPr lang="ar-SA" sz="1100" b="1" spc="0"/>
            <a:t>المملكة العربية السعودية</a:t>
          </a:r>
          <a:r>
            <a:rPr lang="ar-SA" sz="1100" b="1" spc="0" baseline="0"/>
            <a:t> </a:t>
          </a:r>
        </a:p>
        <a:p>
          <a:pPr algn="ctr" rtl="1">
            <a:lnSpc>
              <a:spcPct val="200000"/>
            </a:lnSpc>
          </a:pPr>
          <a:r>
            <a:rPr lang="ar-SA" sz="1100" b="1" spc="0" baseline="0"/>
            <a:t>وزارة التعليم </a:t>
          </a:r>
        </a:p>
        <a:p>
          <a:pPr algn="ctr" rtl="1">
            <a:lnSpc>
              <a:spcPct val="200000"/>
            </a:lnSpc>
          </a:pPr>
          <a:r>
            <a:rPr lang="ar-SA" sz="1100" b="1" spc="0" baseline="0"/>
            <a:t>الإدارة العامة للتعليم بمحافظة جده "بنين"</a:t>
          </a:r>
        </a:p>
        <a:p>
          <a:pPr algn="ctr" rtl="1">
            <a:lnSpc>
              <a:spcPct val="200000"/>
            </a:lnSpc>
          </a:pPr>
          <a:r>
            <a:rPr lang="ar-SA" sz="1100" b="1" spc="0" baseline="0"/>
            <a:t>متوسطة الأمير نايف بن عبدالعزيز </a:t>
          </a:r>
          <a:endParaRPr lang="ar-SA" sz="1100" b="1" spc="0"/>
        </a:p>
      </xdr:txBody>
    </xdr:sp>
    <xdr:clientData/>
  </xdr:twoCellAnchor>
  <xdr:twoCellAnchor editAs="oneCell">
    <xdr:from>
      <xdr:col>1</xdr:col>
      <xdr:colOff>34638</xdr:colOff>
      <xdr:row>2</xdr:row>
      <xdr:rowOff>169718</xdr:rowOff>
    </xdr:from>
    <xdr:to>
      <xdr:col>3</xdr:col>
      <xdr:colOff>512846</xdr:colOff>
      <xdr:row>9</xdr:row>
      <xdr:rowOff>111389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06506905" y="516082"/>
          <a:ext cx="1889639" cy="1153943"/>
        </a:xfrm>
        <a:prstGeom prst="rect">
          <a:avLst/>
        </a:prstGeom>
      </xdr:spPr>
    </xdr:pic>
    <xdr:clientData/>
  </xdr:twoCellAnchor>
  <xdr:twoCellAnchor>
    <xdr:from>
      <xdr:col>1</xdr:col>
      <xdr:colOff>32905</xdr:colOff>
      <xdr:row>22</xdr:row>
      <xdr:rowOff>186170</xdr:rowOff>
    </xdr:from>
    <xdr:to>
      <xdr:col>3</xdr:col>
      <xdr:colOff>487939</xdr:colOff>
      <xdr:row>26</xdr:row>
      <xdr:rowOff>77932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206531810" y="5554806"/>
          <a:ext cx="1866467" cy="1104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>
            <a:lnSpc>
              <a:spcPct val="200000"/>
            </a:lnSpc>
          </a:pPr>
          <a:r>
            <a:rPr lang="ar-SA" sz="1600" b="1" spc="0">
              <a:cs typeface="Al OnWan" pitchFamily="2" charset="-78"/>
            </a:rPr>
            <a:t>مدير المدرسة</a:t>
          </a:r>
          <a:endParaRPr lang="ar-SA" sz="1600" b="1" spc="0" baseline="0">
            <a:cs typeface="Al OnWan" pitchFamily="2" charset="-78"/>
          </a:endParaRPr>
        </a:p>
        <a:p>
          <a:pPr algn="ctr" rtl="1">
            <a:lnSpc>
              <a:spcPct val="200000"/>
            </a:lnSpc>
          </a:pPr>
          <a:r>
            <a:rPr lang="ar-SA" sz="1600" b="1" spc="0" baseline="0">
              <a:cs typeface="Al OnWan" pitchFamily="2" charset="-78"/>
            </a:rPr>
            <a:t>أحمد محمد الغامدي</a:t>
          </a:r>
          <a:endParaRPr lang="ar-SA" sz="1600" b="1" spc="0">
            <a:cs typeface="Al OnWan" pitchFamily="2" charset="-78"/>
          </a:endParaRPr>
        </a:p>
      </xdr:txBody>
    </xdr:sp>
    <xdr:clientData/>
  </xdr:twoCellAnchor>
  <xdr:twoCellAnchor editAs="oneCell">
    <xdr:from>
      <xdr:col>8</xdr:col>
      <xdr:colOff>484909</xdr:colOff>
      <xdr:row>2</xdr:row>
      <xdr:rowOff>137353</xdr:rowOff>
    </xdr:from>
    <xdr:to>
      <xdr:col>11</xdr:col>
      <xdr:colOff>476249</xdr:colOff>
      <xdr:row>9</xdr:row>
      <xdr:rowOff>25977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00889114" y="483717"/>
          <a:ext cx="2441863" cy="1100896"/>
        </a:xfrm>
        <a:prstGeom prst="rect">
          <a:avLst/>
        </a:prstGeom>
      </xdr:spPr>
    </xdr:pic>
    <xdr:clientData/>
  </xdr:twoCellAnchor>
  <xdr:twoCellAnchor editAs="oneCell">
    <xdr:from>
      <xdr:col>1</xdr:col>
      <xdr:colOff>294409</xdr:colOff>
      <xdr:row>25</xdr:row>
      <xdr:rowOff>259771</xdr:rowOff>
    </xdr:from>
    <xdr:to>
      <xdr:col>3</xdr:col>
      <xdr:colOff>451312</xdr:colOff>
      <xdr:row>28</xdr:row>
      <xdr:rowOff>277091</xdr:rowOff>
    </xdr:to>
    <xdr:pic>
      <xdr:nvPicPr>
        <xdr:cNvPr id="7" name="صورة 6">
          <a:extLst>
            <a:ext uri="{FF2B5EF4-FFF2-40B4-BE49-F238E27FC236}">
              <a16:creationId xmlns:a16="http://schemas.microsoft.com/office/drawing/2014/main" id="{7B3D4CE4-E98D-AF51-B0D4-C5B6F69D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568439" y="6537613"/>
          <a:ext cx="1568334" cy="926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397668</xdr:colOff>
      <xdr:row>2</xdr:row>
      <xdr:rowOff>38101</xdr:rowOff>
    </xdr:from>
    <xdr:to>
      <xdr:col>8</xdr:col>
      <xdr:colOff>771525</xdr:colOff>
      <xdr:row>9</xdr:row>
      <xdr:rowOff>107157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1C52B830-1B8B-4665-A32E-761B53CB1CD5}"/>
            </a:ext>
          </a:extLst>
        </xdr:cNvPr>
        <xdr:cNvSpPr txBox="1"/>
      </xdr:nvSpPr>
      <xdr:spPr>
        <a:xfrm>
          <a:off x="11230717950" y="385764"/>
          <a:ext cx="2802732" cy="1302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>
            <a:lnSpc>
              <a:spcPct val="200000"/>
            </a:lnSpc>
          </a:pPr>
          <a:r>
            <a:rPr lang="ar-SA" sz="1400" b="1" spc="0"/>
            <a:t>المملكة العربية السعودية</a:t>
          </a:r>
          <a:r>
            <a:rPr lang="ar-SA" sz="1400" b="1" spc="0" baseline="0"/>
            <a:t> </a:t>
          </a:r>
        </a:p>
        <a:p>
          <a:pPr algn="ctr" rtl="1">
            <a:lnSpc>
              <a:spcPct val="200000"/>
            </a:lnSpc>
          </a:pPr>
          <a:r>
            <a:rPr lang="ar-SA" sz="1400" b="1" spc="0" baseline="0"/>
            <a:t>وزارة التعليم </a:t>
          </a:r>
        </a:p>
        <a:p>
          <a:pPr algn="ctr" rtl="1">
            <a:lnSpc>
              <a:spcPct val="200000"/>
            </a:lnSpc>
          </a:pPr>
          <a:r>
            <a:rPr lang="ar-SA" sz="1400" b="1" spc="0" baseline="0"/>
            <a:t>الإدارة العامة للتعليم بمحافظة جده "بنين"</a:t>
          </a:r>
        </a:p>
        <a:p>
          <a:pPr algn="ctr" rtl="1">
            <a:lnSpc>
              <a:spcPct val="200000"/>
            </a:lnSpc>
          </a:pPr>
          <a:r>
            <a:rPr lang="ar-SA" sz="1400" b="1" spc="0" baseline="0"/>
            <a:t>متوسطة عماد الدين زنكي</a:t>
          </a:r>
          <a:endParaRPr lang="ar-SA" sz="1400" b="1" spc="0"/>
        </a:p>
      </xdr:txBody>
    </xdr:sp>
    <xdr:clientData/>
  </xdr:twoCellAnchor>
  <xdr:twoCellAnchor editAs="oneCell">
    <xdr:from>
      <xdr:col>1</xdr:col>
      <xdr:colOff>34637</xdr:colOff>
      <xdr:row>2</xdr:row>
      <xdr:rowOff>169718</xdr:rowOff>
    </xdr:from>
    <xdr:to>
      <xdr:col>5</xdr:col>
      <xdr:colOff>966107</xdr:colOff>
      <xdr:row>9</xdr:row>
      <xdr:rowOff>111389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ED4D67A8-6480-4990-A904-18850353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59543322" y="516701"/>
          <a:ext cx="3122220" cy="1179921"/>
        </a:xfrm>
        <a:prstGeom prst="rect">
          <a:avLst/>
        </a:prstGeom>
      </xdr:spPr>
    </xdr:pic>
    <xdr:clientData/>
  </xdr:twoCellAnchor>
  <xdr:twoCellAnchor>
    <xdr:from>
      <xdr:col>1</xdr:col>
      <xdr:colOff>32905</xdr:colOff>
      <xdr:row>21</xdr:row>
      <xdr:rowOff>54429</xdr:rowOff>
    </xdr:from>
    <xdr:to>
      <xdr:col>3</xdr:col>
      <xdr:colOff>487939</xdr:colOff>
      <xdr:row>26</xdr:row>
      <xdr:rowOff>77933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2FD01E30-DDD1-4C2E-B9F3-1E51F1CDE6A6}"/>
            </a:ext>
          </a:extLst>
        </xdr:cNvPr>
        <xdr:cNvSpPr txBox="1"/>
      </xdr:nvSpPr>
      <xdr:spPr>
        <a:xfrm>
          <a:off x="11260803901" y="5184322"/>
          <a:ext cx="1863373" cy="1554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>
            <a:lnSpc>
              <a:spcPct val="200000"/>
            </a:lnSpc>
          </a:pPr>
          <a:r>
            <a:rPr lang="ar-SA" sz="2000" b="1" spc="0">
              <a:cs typeface="Al OnWan" pitchFamily="2" charset="-78"/>
            </a:rPr>
            <a:t>مدير المدرسة</a:t>
          </a:r>
          <a:endParaRPr lang="ar-SA" sz="2000" b="1" spc="0" baseline="0">
            <a:cs typeface="Al OnWan" pitchFamily="2" charset="-78"/>
          </a:endParaRPr>
        </a:p>
        <a:p>
          <a:pPr algn="ctr" rtl="1">
            <a:lnSpc>
              <a:spcPct val="200000"/>
            </a:lnSpc>
          </a:pPr>
          <a:r>
            <a:rPr lang="ar-SA" sz="2000" b="1" spc="0" baseline="0">
              <a:cs typeface="Al OnWan" pitchFamily="2" charset="-78"/>
            </a:rPr>
            <a:t>أحمد محمد الغامدي</a:t>
          </a:r>
          <a:endParaRPr lang="ar-SA" sz="2000" b="1" spc="0">
            <a:cs typeface="Al OnWan" pitchFamily="2" charset="-78"/>
          </a:endParaRPr>
        </a:p>
      </xdr:txBody>
    </xdr:sp>
    <xdr:clientData/>
  </xdr:twoCellAnchor>
  <xdr:twoCellAnchor editAs="oneCell">
    <xdr:from>
      <xdr:col>9</xdr:col>
      <xdr:colOff>632733</xdr:colOff>
      <xdr:row>2</xdr:row>
      <xdr:rowOff>8084</xdr:rowOff>
    </xdr:from>
    <xdr:to>
      <xdr:col>12</xdr:col>
      <xdr:colOff>208329</xdr:colOff>
      <xdr:row>9</xdr:row>
      <xdr:rowOff>88445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3EA4AA89-01D6-488D-A805-1A47117EB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50415512" y="355067"/>
          <a:ext cx="2990988" cy="1318611"/>
        </a:xfrm>
        <a:prstGeom prst="rect">
          <a:avLst/>
        </a:prstGeom>
      </xdr:spPr>
    </xdr:pic>
    <xdr:clientData/>
  </xdr:twoCellAnchor>
  <xdr:twoCellAnchor editAs="oneCell">
    <xdr:from>
      <xdr:col>1</xdr:col>
      <xdr:colOff>294409</xdr:colOff>
      <xdr:row>25</xdr:row>
      <xdr:rowOff>259771</xdr:rowOff>
    </xdr:from>
    <xdr:to>
      <xdr:col>3</xdr:col>
      <xdr:colOff>451312</xdr:colOff>
      <xdr:row>27</xdr:row>
      <xdr:rowOff>188645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66D9769-852C-443B-8DB1-8FD73B74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233801" y="6589134"/>
          <a:ext cx="1566603" cy="9317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573CF-5495-4903-84BC-450D5DAE5A9A}" name="الجدول1" displayName="الجدول1" ref="F11:K31" totalsRowShown="0" headerRowDxfId="29" dataDxfId="27" headerRowBorderDxfId="28" tableBorderDxfId="26" totalsRowBorderDxfId="25">
  <autoFilter ref="F11:K31" xr:uid="{DBE573CF-5495-4903-84BC-450D5DAE5A9A}"/>
  <tableColumns count="6">
    <tableColumn id="1" xr3:uid="{30755225-9EDC-420F-95A4-0D470B7A4319}" name="اللجنة " dataDxfId="24"/>
    <tableColumn id="2" xr3:uid="{C8668B73-9D1D-4F46-99C8-6B2E8B493D7C}" name="الأول متوسط" dataDxfId="23"/>
    <tableColumn id="3" xr3:uid="{CCC79EF5-05B8-4019-9F72-7CA88E1E4F0E}" name="الثاني متوسط " dataDxfId="22"/>
    <tableColumn id="4" xr3:uid="{60903A01-47B0-4F72-9C63-C1B8392F0A57}" name="الثالث متوسط" dataDxfId="21"/>
    <tableColumn id="5" xr3:uid="{1AA847FE-8501-4DBA-BA0F-6E4626104CBC}" name="عدد الطلاب" dataDxfId="20"/>
    <tableColumn id="6" xr3:uid="{3BCD567A-4323-433D-8CEA-46ADFC6A646C}" name="مقرها " dataDxfId="1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0F4B6-FFC8-4396-A0B4-FF7358C8B5E3}" name="الجدول14" displayName="الجدول14" ref="F11:K31" totalsRowShown="0" headerRowDxfId="18" dataDxfId="16" headerRowBorderDxfId="17" tableBorderDxfId="15" totalsRowBorderDxfId="14">
  <autoFilter ref="F11:K31" xr:uid="{DBE573CF-5495-4903-84BC-450D5DAE5A9A}"/>
  <tableColumns count="6">
    <tableColumn id="1" xr3:uid="{72BF41D1-4FF8-4188-A8D7-11C253A1F516}" name="اللجنة " dataDxfId="13"/>
    <tableColumn id="2" xr3:uid="{6204B7E8-9A04-402D-9FE8-9AB65B2F7331}" name="الأول متوسط" dataDxfId="12"/>
    <tableColumn id="3" xr3:uid="{2A60BB62-DB32-42C6-800E-70B124EE13E3}" name="الثاني متوسط " dataDxfId="11"/>
    <tableColumn id="4" xr3:uid="{A8E4438C-AE2B-4627-AE16-8F68ED3E9AEF}" name="الثالث متوسط" dataDxfId="10"/>
    <tableColumn id="5" xr3:uid="{F3668E0D-F409-4EBD-9DBB-E271DCC579DA}" name="عدد الطلاب" dataDxfId="9">
      <calculatedColumnFormula>SUM(الجدول14[[#This Row],[الأول متوسط]:[الثالث متوسط]])</calculatedColumnFormula>
    </tableColumn>
    <tableColumn id="6" xr3:uid="{315B4499-5137-450D-BF7E-C6B25669DEB7}" name="مقرها " dataDxfId="8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5"/>
  <sheetViews>
    <sheetView rightToLeft="1" zoomScale="55" zoomScaleNormal="55" workbookViewId="0">
      <selection activeCell="C22" sqref="C22"/>
    </sheetView>
  </sheetViews>
  <sheetFormatPr defaultRowHeight="13.5"/>
  <cols>
    <col min="2" max="2" width="8.25" customWidth="1"/>
    <col min="3" max="3" width="10.25" customWidth="1"/>
    <col min="4" max="4" width="7.8125" customWidth="1"/>
    <col min="5" max="5" width="2.25" customWidth="1"/>
    <col min="6" max="6" width="8.8125" customWidth="1"/>
    <col min="7" max="7" width="11.125" customWidth="1"/>
    <col min="8" max="8" width="11.9375" customWidth="1"/>
    <col min="9" max="9" width="11.5" customWidth="1"/>
    <col min="10" max="11" width="10.375" customWidth="1"/>
    <col min="14" max="14" width="13.75" customWidth="1"/>
    <col min="15" max="15" width="9.875" customWidth="1"/>
  </cols>
  <sheetData>
    <row r="2" spans="2:15" ht="13.9" thickBot="1"/>
    <row r="3" spans="2:15" ht="13.9">
      <c r="B3" s="3"/>
      <c r="C3" s="4"/>
      <c r="D3" s="4"/>
      <c r="E3" s="4"/>
      <c r="F3" s="4"/>
      <c r="G3" s="4"/>
      <c r="H3" s="4"/>
      <c r="I3" s="4"/>
      <c r="J3" s="4"/>
      <c r="K3" s="4"/>
      <c r="L3" s="5"/>
    </row>
    <row r="4" spans="2:15" ht="13.9"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2:15" ht="13.9">
      <c r="B5" s="6"/>
      <c r="C5" s="7"/>
      <c r="D5" s="7"/>
      <c r="E5" s="7"/>
      <c r="F5" s="7"/>
      <c r="G5" s="7"/>
      <c r="H5" s="7"/>
      <c r="I5" s="7"/>
      <c r="J5" s="7"/>
      <c r="K5" s="7"/>
      <c r="L5" s="8"/>
    </row>
    <row r="6" spans="2:15" ht="13.9">
      <c r="B6" s="6"/>
      <c r="C6" s="7"/>
      <c r="D6" s="7"/>
      <c r="E6" s="7"/>
      <c r="F6" s="7"/>
      <c r="G6" s="7"/>
      <c r="H6" s="7"/>
      <c r="I6" s="7"/>
      <c r="J6" s="7"/>
      <c r="K6" s="7"/>
      <c r="L6" s="8"/>
    </row>
    <row r="7" spans="2:15" ht="13.9">
      <c r="B7" s="6"/>
      <c r="C7" s="7"/>
      <c r="D7" s="7"/>
      <c r="E7" s="7"/>
      <c r="F7" s="7"/>
      <c r="G7" s="7"/>
      <c r="H7" s="7"/>
      <c r="I7" s="7"/>
      <c r="J7" s="7"/>
      <c r="K7" s="7"/>
      <c r="L7" s="8"/>
    </row>
    <row r="8" spans="2:15" ht="13.9">
      <c r="B8" s="6"/>
      <c r="C8" s="7"/>
      <c r="D8" s="7"/>
      <c r="E8" s="7"/>
      <c r="F8" s="7"/>
      <c r="G8" s="7"/>
      <c r="H8" s="7"/>
      <c r="I8" s="7"/>
      <c r="J8" s="7"/>
      <c r="K8" s="7"/>
      <c r="L8" s="8"/>
    </row>
    <row r="9" spans="2:15" ht="13.9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5" ht="13.9">
      <c r="B10" s="6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2:15" ht="24" customHeight="1" thickBot="1">
      <c r="B11" s="6"/>
      <c r="C11" s="7"/>
      <c r="D11" s="7"/>
      <c r="E11" s="7"/>
      <c r="F11" s="20" t="s">
        <v>4</v>
      </c>
      <c r="G11" s="21" t="s">
        <v>0</v>
      </c>
      <c r="H11" s="21" t="s">
        <v>5</v>
      </c>
      <c r="I11" s="21" t="s">
        <v>2</v>
      </c>
      <c r="J11" s="21" t="s">
        <v>6</v>
      </c>
      <c r="K11" s="22" t="s">
        <v>7</v>
      </c>
      <c r="L11" s="8"/>
    </row>
    <row r="12" spans="2:15" ht="24" customHeight="1" thickTop="1" thickBot="1">
      <c r="B12" s="48" t="s">
        <v>9</v>
      </c>
      <c r="C12" s="49"/>
      <c r="D12" s="7"/>
      <c r="E12" s="10"/>
      <c r="F12" s="18">
        <v>1</v>
      </c>
      <c r="G12" s="9">
        <v>10</v>
      </c>
      <c r="H12" s="9">
        <v>13</v>
      </c>
      <c r="I12" s="9">
        <v>7</v>
      </c>
      <c r="J12" s="9">
        <v>30</v>
      </c>
      <c r="K12" s="19"/>
      <c r="L12" s="8"/>
      <c r="N12" s="23"/>
      <c r="O12" s="23"/>
    </row>
    <row r="13" spans="2:15" ht="24" customHeight="1" thickTop="1" thickBot="1">
      <c r="B13" s="6"/>
      <c r="C13" s="7"/>
      <c r="D13" s="11"/>
      <c r="E13" s="7"/>
      <c r="F13" s="18">
        <v>2</v>
      </c>
      <c r="G13" s="9">
        <v>10</v>
      </c>
      <c r="H13" s="9">
        <v>13</v>
      </c>
      <c r="I13" s="9">
        <v>7</v>
      </c>
      <c r="J13" s="9">
        <v>30</v>
      </c>
      <c r="K13" s="19"/>
      <c r="L13" s="8"/>
      <c r="N13" s="50" t="s">
        <v>10</v>
      </c>
      <c r="O13" s="51"/>
    </row>
    <row r="14" spans="2:15" ht="24" customHeight="1" thickTop="1" thickBot="1">
      <c r="B14" s="48" t="s">
        <v>0</v>
      </c>
      <c r="C14" s="49"/>
      <c r="D14" s="12">
        <v>202</v>
      </c>
      <c r="E14" s="13"/>
      <c r="F14" s="18">
        <v>3</v>
      </c>
      <c r="G14" s="9">
        <v>10</v>
      </c>
      <c r="H14" s="9">
        <v>13</v>
      </c>
      <c r="I14" s="9">
        <v>7</v>
      </c>
      <c r="J14" s="9">
        <v>30</v>
      </c>
      <c r="K14" s="19"/>
      <c r="L14" s="8"/>
      <c r="N14" s="24" t="s">
        <v>0</v>
      </c>
      <c r="O14" s="24">
        <f>ROUNDUP(D14/COUNTA(الجدول1[[اللجنة ]]),1)</f>
        <v>10.1</v>
      </c>
    </row>
    <row r="15" spans="2:15" ht="24" customHeight="1" thickTop="1" thickBot="1">
      <c r="B15" s="1"/>
      <c r="C15" s="2"/>
      <c r="D15" s="11"/>
      <c r="E15" s="14"/>
      <c r="F15" s="18">
        <v>4</v>
      </c>
      <c r="G15" s="9">
        <v>10</v>
      </c>
      <c r="H15" s="9">
        <v>13</v>
      </c>
      <c r="I15" s="9">
        <v>8</v>
      </c>
      <c r="J15" s="9">
        <v>31</v>
      </c>
      <c r="K15" s="19"/>
      <c r="L15" s="8"/>
      <c r="N15" s="24" t="s">
        <v>1</v>
      </c>
      <c r="O15" s="24">
        <f>ROUNDUP(D16/COUNTA(الجدول1[[اللجنة ]]),1)</f>
        <v>12.299999999999999</v>
      </c>
    </row>
    <row r="16" spans="2:15" ht="24" customHeight="1" thickTop="1" thickBot="1">
      <c r="B16" s="48" t="s">
        <v>1</v>
      </c>
      <c r="C16" s="49"/>
      <c r="D16" s="12">
        <v>245</v>
      </c>
      <c r="E16" s="13"/>
      <c r="F16" s="18">
        <v>5</v>
      </c>
      <c r="G16" s="9">
        <v>10</v>
      </c>
      <c r="H16" s="9">
        <v>13</v>
      </c>
      <c r="I16" s="9">
        <v>8</v>
      </c>
      <c r="J16" s="9">
        <v>31</v>
      </c>
      <c r="K16" s="19"/>
      <c r="L16" s="8"/>
      <c r="N16" s="24" t="s">
        <v>2</v>
      </c>
      <c r="O16" s="24">
        <f>ROUNDUP(D18/COUNTA(الجدول1[[اللجنة ]]),1)</f>
        <v>7.8</v>
      </c>
    </row>
    <row r="17" spans="2:12" ht="24" customHeight="1" thickTop="1" thickBot="1">
      <c r="B17" s="1"/>
      <c r="C17" s="2"/>
      <c r="D17" s="11"/>
      <c r="E17" s="14"/>
      <c r="F17" s="18">
        <v>6</v>
      </c>
      <c r="G17" s="9">
        <v>10</v>
      </c>
      <c r="H17" s="9">
        <v>12</v>
      </c>
      <c r="I17" s="9">
        <v>8</v>
      </c>
      <c r="J17" s="9">
        <v>30</v>
      </c>
      <c r="K17" s="19"/>
      <c r="L17" s="8"/>
    </row>
    <row r="18" spans="2:12" ht="24" customHeight="1" thickTop="1" thickBot="1">
      <c r="B18" s="48" t="s">
        <v>2</v>
      </c>
      <c r="C18" s="49"/>
      <c r="D18" s="12">
        <v>155</v>
      </c>
      <c r="E18" s="13"/>
      <c r="F18" s="18">
        <v>7</v>
      </c>
      <c r="G18" s="9">
        <v>10</v>
      </c>
      <c r="H18" s="9">
        <v>12</v>
      </c>
      <c r="I18" s="9">
        <v>8</v>
      </c>
      <c r="J18" s="9">
        <v>30</v>
      </c>
      <c r="K18" s="19"/>
      <c r="L18" s="8"/>
    </row>
    <row r="19" spans="2:12" ht="24" customHeight="1" thickTop="1" thickBot="1">
      <c r="B19" s="1"/>
      <c r="C19" s="2"/>
      <c r="D19" s="11"/>
      <c r="E19" s="7"/>
      <c r="F19" s="18">
        <v>8</v>
      </c>
      <c r="G19" s="9">
        <v>10</v>
      </c>
      <c r="H19" s="9">
        <v>12</v>
      </c>
      <c r="I19" s="9">
        <v>8</v>
      </c>
      <c r="J19" s="9">
        <v>30</v>
      </c>
      <c r="K19" s="19"/>
      <c r="L19" s="8"/>
    </row>
    <row r="20" spans="2:12" ht="24" customHeight="1" thickTop="1" thickBot="1">
      <c r="B20" s="48" t="s">
        <v>3</v>
      </c>
      <c r="C20" s="49"/>
      <c r="D20" s="12">
        <f>SUM(D14+D16+D18)</f>
        <v>602</v>
      </c>
      <c r="E20" s="10"/>
      <c r="F20" s="18">
        <v>9</v>
      </c>
      <c r="G20" s="9">
        <v>10</v>
      </c>
      <c r="H20" s="9">
        <v>12</v>
      </c>
      <c r="I20" s="9">
        <v>8</v>
      </c>
      <c r="J20" s="9">
        <v>30</v>
      </c>
      <c r="K20" s="19"/>
      <c r="L20" s="8"/>
    </row>
    <row r="21" spans="2:12" ht="24" customHeight="1" thickTop="1" thickBot="1">
      <c r="B21" s="6"/>
      <c r="C21" s="7"/>
      <c r="D21" s="11"/>
      <c r="E21" s="7"/>
      <c r="F21" s="18">
        <v>10</v>
      </c>
      <c r="G21" s="9">
        <v>10</v>
      </c>
      <c r="H21" s="9">
        <v>12</v>
      </c>
      <c r="I21" s="9">
        <v>8</v>
      </c>
      <c r="J21" s="9">
        <v>30</v>
      </c>
      <c r="K21" s="19"/>
      <c r="L21" s="8"/>
    </row>
    <row r="22" spans="2:12" ht="24" customHeight="1" thickTop="1" thickBot="1">
      <c r="B22" s="6"/>
      <c r="C22" s="7"/>
      <c r="D22" s="11"/>
      <c r="E22" s="7"/>
      <c r="F22" s="18">
        <v>11</v>
      </c>
      <c r="G22" s="9">
        <v>10</v>
      </c>
      <c r="H22" s="9">
        <v>12</v>
      </c>
      <c r="I22" s="9">
        <v>8</v>
      </c>
      <c r="J22" s="9">
        <v>30</v>
      </c>
      <c r="K22" s="19"/>
      <c r="L22" s="8"/>
    </row>
    <row r="23" spans="2:12" ht="24" customHeight="1" thickTop="1" thickBot="1">
      <c r="B23" s="6"/>
      <c r="C23" s="7"/>
      <c r="D23" s="11"/>
      <c r="E23" s="7"/>
      <c r="F23" s="18">
        <v>12</v>
      </c>
      <c r="G23" s="9">
        <v>10</v>
      </c>
      <c r="H23" s="9">
        <v>12</v>
      </c>
      <c r="I23" s="9">
        <v>8</v>
      </c>
      <c r="J23" s="9">
        <v>30</v>
      </c>
      <c r="K23" s="19"/>
      <c r="L23" s="8"/>
    </row>
    <row r="24" spans="2:12" ht="24" customHeight="1" thickTop="1" thickBot="1">
      <c r="B24" s="6"/>
      <c r="C24" s="7"/>
      <c r="D24" s="11"/>
      <c r="E24" s="7"/>
      <c r="F24" s="18">
        <v>13</v>
      </c>
      <c r="G24" s="9">
        <v>10</v>
      </c>
      <c r="H24" s="9">
        <v>12</v>
      </c>
      <c r="I24" s="9">
        <v>8</v>
      </c>
      <c r="J24" s="9">
        <v>30</v>
      </c>
      <c r="K24" s="19"/>
      <c r="L24" s="8"/>
    </row>
    <row r="25" spans="2:12" ht="24" customHeight="1" thickTop="1" thickBot="1">
      <c r="B25" s="6"/>
      <c r="C25" s="7"/>
      <c r="D25" s="11"/>
      <c r="E25" s="7"/>
      <c r="F25" s="18">
        <v>14</v>
      </c>
      <c r="G25" s="9">
        <v>10</v>
      </c>
      <c r="H25" s="9">
        <v>12</v>
      </c>
      <c r="I25" s="9">
        <v>8</v>
      </c>
      <c r="J25" s="9">
        <v>30</v>
      </c>
      <c r="K25" s="19"/>
      <c r="L25" s="8"/>
    </row>
    <row r="26" spans="2:12" ht="24" customHeight="1" thickTop="1" thickBot="1">
      <c r="B26" s="6"/>
      <c r="C26" s="7"/>
      <c r="D26" s="11"/>
      <c r="E26" s="7"/>
      <c r="F26" s="18">
        <v>15</v>
      </c>
      <c r="G26" s="9">
        <v>10</v>
      </c>
      <c r="H26" s="9">
        <v>12</v>
      </c>
      <c r="I26" s="9">
        <v>8</v>
      </c>
      <c r="J26" s="9">
        <v>30</v>
      </c>
      <c r="K26" s="19"/>
      <c r="L26" s="8"/>
    </row>
    <row r="27" spans="2:12" ht="24" customHeight="1" thickTop="1" thickBot="1">
      <c r="B27" s="6"/>
      <c r="C27" s="7"/>
      <c r="D27" s="7"/>
      <c r="E27" s="7"/>
      <c r="F27" s="18">
        <v>16</v>
      </c>
      <c r="G27" s="9">
        <v>10</v>
      </c>
      <c r="H27" s="9">
        <v>12</v>
      </c>
      <c r="I27" s="9">
        <v>8</v>
      </c>
      <c r="J27" s="9">
        <v>30</v>
      </c>
      <c r="K27" s="19"/>
      <c r="L27" s="8"/>
    </row>
    <row r="28" spans="2:12" ht="24" customHeight="1" thickTop="1" thickBot="1">
      <c r="B28" s="6"/>
      <c r="C28" s="7"/>
      <c r="D28" s="7"/>
      <c r="E28" s="7"/>
      <c r="F28" s="18">
        <v>17</v>
      </c>
      <c r="G28" s="9">
        <v>10</v>
      </c>
      <c r="H28" s="9">
        <v>12</v>
      </c>
      <c r="I28" s="9">
        <v>8</v>
      </c>
      <c r="J28" s="9">
        <v>30</v>
      </c>
      <c r="K28" s="19"/>
      <c r="L28" s="8"/>
    </row>
    <row r="29" spans="2:12" ht="24" customHeight="1" thickTop="1" thickBot="1">
      <c r="B29" s="6"/>
      <c r="C29" s="7"/>
      <c r="D29" s="7"/>
      <c r="E29" s="7"/>
      <c r="F29" s="18">
        <v>18</v>
      </c>
      <c r="G29" s="9">
        <v>10</v>
      </c>
      <c r="H29" s="9">
        <v>12</v>
      </c>
      <c r="I29" s="9">
        <v>8</v>
      </c>
      <c r="J29" s="9">
        <v>30</v>
      </c>
      <c r="K29" s="19"/>
      <c r="L29" s="8"/>
    </row>
    <row r="30" spans="2:12" ht="24" customHeight="1" thickTop="1" thickBot="1">
      <c r="B30" s="6"/>
      <c r="C30" s="7"/>
      <c r="D30" s="7"/>
      <c r="E30" s="7"/>
      <c r="F30" s="18">
        <v>19</v>
      </c>
      <c r="G30" s="9">
        <v>11</v>
      </c>
      <c r="H30" s="9">
        <v>12</v>
      </c>
      <c r="I30" s="9">
        <v>7</v>
      </c>
      <c r="J30" s="9">
        <v>30</v>
      </c>
      <c r="K30" s="19"/>
      <c r="L30" s="8"/>
    </row>
    <row r="31" spans="2:12" ht="24" customHeight="1" thickTop="1" thickBot="1">
      <c r="B31" s="6"/>
      <c r="C31" s="7"/>
      <c r="D31" s="7"/>
      <c r="E31" s="7"/>
      <c r="F31" s="18">
        <v>20</v>
      </c>
      <c r="G31" s="9">
        <v>11</v>
      </c>
      <c r="H31" s="9">
        <v>12</v>
      </c>
      <c r="I31" s="9">
        <v>7</v>
      </c>
      <c r="J31" s="9">
        <v>30</v>
      </c>
      <c r="K31" s="19"/>
      <c r="L31" s="8"/>
    </row>
    <row r="32" spans="2:12" ht="24" customHeight="1" thickTop="1" thickBot="1">
      <c r="B32" s="6"/>
      <c r="C32" s="7"/>
      <c r="D32" s="7"/>
      <c r="E32" s="7"/>
      <c r="F32" s="9" t="s">
        <v>8</v>
      </c>
      <c r="G32" s="16">
        <f>SUM(G12:G31)</f>
        <v>202</v>
      </c>
      <c r="H32" s="16">
        <f>SUM(H12:H31)</f>
        <v>245</v>
      </c>
      <c r="I32" s="16">
        <f>SUM(I12:I31)</f>
        <v>155</v>
      </c>
      <c r="J32" s="17">
        <f>SUM(الجدول1[عدد الطلاب])</f>
        <v>602</v>
      </c>
      <c r="K32" s="15"/>
      <c r="L32" s="8"/>
    </row>
    <row r="33" spans="2:12" ht="14.25" thickTop="1">
      <c r="B33" s="6"/>
      <c r="C33" s="7"/>
      <c r="D33" s="7"/>
      <c r="E33" s="7"/>
      <c r="F33" s="7"/>
      <c r="G33" s="7"/>
      <c r="H33" s="7"/>
      <c r="I33" s="7"/>
      <c r="J33" s="7"/>
      <c r="K33" s="7"/>
      <c r="L33" s="8"/>
    </row>
    <row r="34" spans="2:12" ht="14.25" thickBot="1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2:12" ht="13.9" thickTop="1"/>
  </sheetData>
  <mergeCells count="6">
    <mergeCell ref="B20:C20"/>
    <mergeCell ref="N13:O13"/>
    <mergeCell ref="B12:C12"/>
    <mergeCell ref="B14:C14"/>
    <mergeCell ref="B16:C16"/>
    <mergeCell ref="B18:C18"/>
  </mergeCells>
  <conditionalFormatting sqref="G32">
    <cfRule type="expression" dxfId="7" priority="4">
      <formula>$G$32=$D$14</formula>
    </cfRule>
  </conditionalFormatting>
  <conditionalFormatting sqref="H32">
    <cfRule type="expression" dxfId="6" priority="3">
      <formula>$H$32=$D$16</formula>
    </cfRule>
  </conditionalFormatting>
  <conditionalFormatting sqref="I32">
    <cfRule type="expression" dxfId="5" priority="2">
      <formula>$I$32=$D$18</formula>
    </cfRule>
  </conditionalFormatting>
  <conditionalFormatting sqref="J32">
    <cfRule type="expression" dxfId="4" priority="1">
      <formula>$J$32=$D$20</formula>
    </cfRule>
  </conditionalFormatting>
  <pageMargins left="0.59" right="0.38" top="0.75" bottom="0.75" header="0.3" footer="0.3"/>
  <pageSetup paperSize="9" scale="71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6266-7414-416E-BE5E-68F72E6ABB5F}">
  <sheetPr>
    <pageSetUpPr fitToPage="1"/>
  </sheetPr>
  <dimension ref="B2:O35"/>
  <sheetViews>
    <sheetView rightToLeft="1" tabSelected="1" topLeftCell="A4" zoomScale="55" zoomScaleNormal="55" workbookViewId="0">
      <selection activeCell="N27" sqref="N27"/>
    </sheetView>
  </sheetViews>
  <sheetFormatPr defaultRowHeight="13.5"/>
  <cols>
    <col min="2" max="2" width="8.25" customWidth="1"/>
    <col min="3" max="3" width="10.25" customWidth="1"/>
    <col min="4" max="4" width="8.0625" customWidth="1"/>
    <col min="5" max="5" width="2.25" customWidth="1"/>
    <col min="6" max="6" width="15.125" bestFit="1" customWidth="1"/>
    <col min="7" max="7" width="22.5625" bestFit="1" customWidth="1"/>
    <col min="8" max="8" width="24.25" bestFit="1" customWidth="1"/>
    <col min="9" max="9" width="23.4375" bestFit="1" customWidth="1"/>
    <col min="10" max="10" width="20.6875" bestFit="1" customWidth="1"/>
    <col min="11" max="11" width="15.0625" bestFit="1" customWidth="1"/>
    <col min="14" max="14" width="13.75" customWidth="1"/>
    <col min="15" max="15" width="9.875" customWidth="1"/>
  </cols>
  <sheetData>
    <row r="2" spans="2:15" ht="13.9" thickBot="1"/>
    <row r="3" spans="2:15" ht="13.9">
      <c r="B3" s="3"/>
      <c r="C3" s="4"/>
      <c r="D3" s="4"/>
      <c r="E3" s="4"/>
      <c r="F3" s="4"/>
      <c r="G3" s="4"/>
      <c r="H3" s="4"/>
      <c r="I3" s="4"/>
      <c r="J3" s="4"/>
      <c r="K3" s="4"/>
      <c r="L3" s="5"/>
    </row>
    <row r="4" spans="2:15" ht="13.9">
      <c r="B4" s="6"/>
      <c r="C4" s="7"/>
      <c r="D4" s="7"/>
      <c r="E4" s="7"/>
      <c r="F4" s="7"/>
      <c r="G4" s="7"/>
      <c r="H4" s="7"/>
      <c r="I4" s="7"/>
      <c r="J4" s="7"/>
      <c r="K4" s="7"/>
      <c r="L4" s="8"/>
      <c r="O4">
        <v>30</v>
      </c>
    </row>
    <row r="5" spans="2:15" ht="13.9">
      <c r="B5" s="6"/>
      <c r="C5" s="7"/>
      <c r="D5" s="7"/>
      <c r="E5" s="7"/>
      <c r="F5" s="7"/>
      <c r="G5" s="7"/>
      <c r="H5" s="7"/>
      <c r="I5" s="7"/>
      <c r="J5" s="7"/>
      <c r="K5" s="7"/>
      <c r="L5" s="8"/>
    </row>
    <row r="6" spans="2:15" ht="13.9">
      <c r="B6" s="6"/>
      <c r="C6" s="7"/>
      <c r="D6" s="7"/>
      <c r="E6" s="7"/>
      <c r="F6" s="7"/>
      <c r="G6" s="7"/>
      <c r="H6" s="7"/>
      <c r="I6" s="7"/>
      <c r="J6" s="7"/>
      <c r="K6" s="7"/>
      <c r="L6" s="8"/>
    </row>
    <row r="7" spans="2:15" ht="13.9">
      <c r="B7" s="6"/>
      <c r="C7" s="7"/>
      <c r="D7" s="7"/>
      <c r="E7" s="7"/>
      <c r="F7" s="7"/>
      <c r="G7" s="7"/>
      <c r="H7" s="7"/>
      <c r="I7" s="7"/>
      <c r="J7" s="7"/>
      <c r="K7" s="7"/>
      <c r="L7" s="8"/>
    </row>
    <row r="8" spans="2:15" ht="13.9">
      <c r="B8" s="6"/>
      <c r="C8" s="7"/>
      <c r="D8" s="7"/>
      <c r="E8" s="7"/>
      <c r="F8" s="7"/>
      <c r="G8" s="7"/>
      <c r="H8" s="7"/>
      <c r="I8" s="7"/>
      <c r="J8" s="7"/>
      <c r="K8" s="7"/>
      <c r="L8" s="8"/>
    </row>
    <row r="9" spans="2:15" ht="13.9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5" ht="13.9">
      <c r="B10" s="6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2:15" ht="40.049999999999997" customHeight="1" thickBot="1">
      <c r="B11" s="28"/>
      <c r="C11" s="29"/>
      <c r="D11" s="29"/>
      <c r="E11" s="29"/>
      <c r="F11" s="30" t="s">
        <v>4</v>
      </c>
      <c r="G11" s="31" t="s">
        <v>0</v>
      </c>
      <c r="H11" s="31" t="s">
        <v>5</v>
      </c>
      <c r="I11" s="31" t="s">
        <v>2</v>
      </c>
      <c r="J11" s="31" t="s">
        <v>6</v>
      </c>
      <c r="K11" s="32" t="s">
        <v>7</v>
      </c>
      <c r="L11" s="33"/>
    </row>
    <row r="12" spans="2:15" ht="40.049999999999997" customHeight="1" thickTop="1" thickBot="1">
      <c r="B12" s="41" t="s">
        <v>9</v>
      </c>
      <c r="C12" s="42"/>
      <c r="D12" s="29"/>
      <c r="E12" s="34"/>
      <c r="F12" s="35">
        <v>1</v>
      </c>
      <c r="G12" s="36">
        <v>8</v>
      </c>
      <c r="H12" s="36">
        <v>10</v>
      </c>
      <c r="I12" s="36">
        <v>11</v>
      </c>
      <c r="J12" s="36">
        <f>SUM(الجدول14[[#This Row],[الأول متوسط]:[الثالث متوسط]])</f>
        <v>29</v>
      </c>
      <c r="K12" s="37" t="s">
        <v>11</v>
      </c>
      <c r="L12" s="33"/>
      <c r="N12" s="23"/>
      <c r="O12" s="23"/>
    </row>
    <row r="13" spans="2:15" ht="40.049999999999997" customHeight="1" thickTop="1" thickBot="1">
      <c r="B13" s="28"/>
      <c r="C13" s="29"/>
      <c r="D13" s="38"/>
      <c r="E13" s="29"/>
      <c r="F13" s="35">
        <v>2</v>
      </c>
      <c r="G13" s="36">
        <v>8</v>
      </c>
      <c r="H13" s="36">
        <v>10</v>
      </c>
      <c r="I13" s="36">
        <v>11</v>
      </c>
      <c r="J13" s="36">
        <f>SUM(الجدول14[[#This Row],[الأول متوسط]:[الثالث متوسط]])</f>
        <v>29</v>
      </c>
      <c r="K13" s="37" t="s">
        <v>14</v>
      </c>
      <c r="L13" s="33"/>
      <c r="N13" s="50" t="s">
        <v>10</v>
      </c>
      <c r="O13" s="51"/>
    </row>
    <row r="14" spans="2:15" ht="40.049999999999997" customHeight="1" thickTop="1" thickBot="1">
      <c r="B14" s="52" t="s">
        <v>0</v>
      </c>
      <c r="C14" s="53"/>
      <c r="D14" s="39">
        <v>160</v>
      </c>
      <c r="E14" s="40"/>
      <c r="F14" s="35">
        <v>3</v>
      </c>
      <c r="G14" s="36">
        <v>8</v>
      </c>
      <c r="H14" s="36">
        <v>10</v>
      </c>
      <c r="I14" s="36">
        <v>11</v>
      </c>
      <c r="J14" s="36">
        <f>SUM(الجدول14[[#This Row],[الأول متوسط]:[الثالث متوسط]])</f>
        <v>29</v>
      </c>
      <c r="K14" s="37" t="s">
        <v>16</v>
      </c>
      <c r="L14" s="33"/>
      <c r="N14" s="24" t="s">
        <v>0</v>
      </c>
      <c r="O14" s="24">
        <f>ROUNDUP(D14/COUNTA(الجدول14[[اللجنة ]]),1)</f>
        <v>8</v>
      </c>
    </row>
    <row r="15" spans="2:15" ht="40.049999999999997" customHeight="1" thickTop="1" thickBot="1">
      <c r="B15" s="41"/>
      <c r="C15" s="42"/>
      <c r="D15" s="38"/>
      <c r="E15" s="38"/>
      <c r="F15" s="35">
        <v>4</v>
      </c>
      <c r="G15" s="36">
        <v>8</v>
      </c>
      <c r="H15" s="36">
        <v>10</v>
      </c>
      <c r="I15" s="36">
        <v>11</v>
      </c>
      <c r="J15" s="36">
        <f>SUM(الجدول14[[#This Row],[الأول متوسط]:[الثالث متوسط]])</f>
        <v>29</v>
      </c>
      <c r="K15" s="37" t="s">
        <v>20</v>
      </c>
      <c r="L15" s="33"/>
      <c r="N15" s="24" t="s">
        <v>1</v>
      </c>
      <c r="O15" s="24">
        <f>ROUNDUP(D16/COUNTA(الجدول14[[اللجنة ]]),1)</f>
        <v>9.6999999999999993</v>
      </c>
    </row>
    <row r="16" spans="2:15" ht="40.049999999999997" customHeight="1" thickTop="1" thickBot="1">
      <c r="B16" s="52" t="s">
        <v>1</v>
      </c>
      <c r="C16" s="53"/>
      <c r="D16" s="39">
        <v>193</v>
      </c>
      <c r="E16" s="40"/>
      <c r="F16" s="35">
        <v>5</v>
      </c>
      <c r="G16" s="36">
        <v>8</v>
      </c>
      <c r="H16" s="36">
        <v>10</v>
      </c>
      <c r="I16" s="36">
        <v>11</v>
      </c>
      <c r="J16" s="36">
        <f>SUM(الجدول14[[#This Row],[الأول متوسط]:[الثالث متوسط]])</f>
        <v>29</v>
      </c>
      <c r="K16" s="37" t="s">
        <v>18</v>
      </c>
      <c r="L16" s="33"/>
      <c r="N16" s="24" t="s">
        <v>2</v>
      </c>
      <c r="O16" s="24">
        <f>ROUNDUP(D18/COUNTA(الجدول14[[اللجنة ]]),1)</f>
        <v>11.7</v>
      </c>
    </row>
    <row r="17" spans="2:12" ht="40.049999999999997" customHeight="1" thickTop="1" thickBot="1">
      <c r="B17" s="41"/>
      <c r="C17" s="42"/>
      <c r="D17" s="38"/>
      <c r="E17" s="38"/>
      <c r="F17" s="35">
        <v>6</v>
      </c>
      <c r="G17" s="36">
        <v>8</v>
      </c>
      <c r="H17" s="36">
        <v>10</v>
      </c>
      <c r="I17" s="36">
        <v>11</v>
      </c>
      <c r="J17" s="36">
        <f>SUM(الجدول14[[#This Row],[الأول متوسط]:[الثالث متوسط]])</f>
        <v>29</v>
      </c>
      <c r="K17" s="37" t="s">
        <v>19</v>
      </c>
      <c r="L17" s="33"/>
    </row>
    <row r="18" spans="2:12" ht="40.049999999999997" customHeight="1" thickTop="1" thickBot="1">
      <c r="B18" s="52" t="s">
        <v>2</v>
      </c>
      <c r="C18" s="53"/>
      <c r="D18" s="39">
        <v>233</v>
      </c>
      <c r="E18" s="40"/>
      <c r="F18" s="35">
        <v>7</v>
      </c>
      <c r="G18" s="36">
        <v>8</v>
      </c>
      <c r="H18" s="36">
        <v>10</v>
      </c>
      <c r="I18" s="36">
        <v>11</v>
      </c>
      <c r="J18" s="36">
        <f>SUM(الجدول14[[#This Row],[الأول متوسط]:[الثالث متوسط]])</f>
        <v>29</v>
      </c>
      <c r="K18" s="37" t="s">
        <v>21</v>
      </c>
      <c r="L18" s="33"/>
    </row>
    <row r="19" spans="2:12" ht="40.049999999999997" customHeight="1" thickTop="1" thickBot="1">
      <c r="B19" s="41"/>
      <c r="C19" s="42"/>
      <c r="D19" s="38"/>
      <c r="E19" s="29"/>
      <c r="F19" s="35">
        <v>8</v>
      </c>
      <c r="G19" s="36">
        <v>8</v>
      </c>
      <c r="H19" s="36">
        <v>10</v>
      </c>
      <c r="I19" s="36">
        <v>12</v>
      </c>
      <c r="J19" s="36">
        <f>SUM(الجدول14[[#This Row],[الأول متوسط]:[الثالث متوسط]])</f>
        <v>30</v>
      </c>
      <c r="K19" s="37" t="s">
        <v>22</v>
      </c>
      <c r="L19" s="33"/>
    </row>
    <row r="20" spans="2:12" ht="40.049999999999997" customHeight="1" thickTop="1" thickBot="1">
      <c r="B20" s="52" t="s">
        <v>3</v>
      </c>
      <c r="C20" s="53"/>
      <c r="D20" s="39">
        <f>SUM(D14+D16+D18)</f>
        <v>586</v>
      </c>
      <c r="E20" s="34"/>
      <c r="F20" s="35">
        <v>9</v>
      </c>
      <c r="G20" s="36">
        <v>8</v>
      </c>
      <c r="H20" s="36">
        <v>10</v>
      </c>
      <c r="I20" s="36">
        <v>12</v>
      </c>
      <c r="J20" s="36">
        <f>SUM(الجدول14[[#This Row],[الأول متوسط]:[الثالث متوسط]])</f>
        <v>30</v>
      </c>
      <c r="K20" s="37" t="s">
        <v>23</v>
      </c>
      <c r="L20" s="33"/>
    </row>
    <row r="21" spans="2:12" ht="40.049999999999997" customHeight="1" thickTop="1" thickBot="1">
      <c r="B21" s="28"/>
      <c r="C21" s="29"/>
      <c r="D21" s="38"/>
      <c r="E21" s="29"/>
      <c r="F21" s="35">
        <v>10</v>
      </c>
      <c r="G21" s="36">
        <v>8</v>
      </c>
      <c r="H21" s="36">
        <v>10</v>
      </c>
      <c r="I21" s="36">
        <v>12</v>
      </c>
      <c r="J21" s="36">
        <f>SUM(الجدول14[[#This Row],[الأول متوسط]:[الثالث متوسط]])</f>
        <v>30</v>
      </c>
      <c r="K21" s="37" t="s">
        <v>24</v>
      </c>
      <c r="L21" s="33"/>
    </row>
    <row r="22" spans="2:12" ht="40.049999999999997" customHeight="1" thickTop="1" thickBot="1">
      <c r="B22" s="28"/>
      <c r="C22" s="29"/>
      <c r="D22" s="38"/>
      <c r="E22" s="29"/>
      <c r="F22" s="35">
        <v>11</v>
      </c>
      <c r="G22" s="36">
        <v>8</v>
      </c>
      <c r="H22" s="36">
        <v>10</v>
      </c>
      <c r="I22" s="36">
        <v>12</v>
      </c>
      <c r="J22" s="36">
        <f>SUM(الجدول14[[#This Row],[الأول متوسط]:[الثالث متوسط]])</f>
        <v>30</v>
      </c>
      <c r="K22" s="37" t="s">
        <v>15</v>
      </c>
      <c r="L22" s="33"/>
    </row>
    <row r="23" spans="2:12" ht="40.049999999999997" customHeight="1" thickTop="1" thickBot="1">
      <c r="B23" s="28"/>
      <c r="C23" s="29"/>
      <c r="D23" s="38"/>
      <c r="E23" s="29"/>
      <c r="F23" s="35">
        <v>12</v>
      </c>
      <c r="G23" s="36">
        <v>8</v>
      </c>
      <c r="H23" s="36">
        <v>10</v>
      </c>
      <c r="I23" s="36">
        <v>12</v>
      </c>
      <c r="J23" s="36">
        <f>SUM(الجدول14[[#This Row],[الأول متوسط]:[الثالث متوسط]])</f>
        <v>30</v>
      </c>
      <c r="K23" s="37" t="s">
        <v>12</v>
      </c>
      <c r="L23" s="33"/>
    </row>
    <row r="24" spans="2:12" ht="40.049999999999997" customHeight="1" thickTop="1" thickBot="1">
      <c r="B24" s="28"/>
      <c r="C24" s="29"/>
      <c r="D24" s="38"/>
      <c r="E24" s="29"/>
      <c r="F24" s="35">
        <v>13</v>
      </c>
      <c r="G24" s="36">
        <v>8</v>
      </c>
      <c r="H24" s="36">
        <v>10</v>
      </c>
      <c r="I24" s="36">
        <v>12</v>
      </c>
      <c r="J24" s="36">
        <f>SUM(الجدول14[[#This Row],[الأول متوسط]:[الثالث متوسط]])</f>
        <v>30</v>
      </c>
      <c r="K24" s="37" t="s">
        <v>14</v>
      </c>
      <c r="L24" s="33"/>
    </row>
    <row r="25" spans="2:12" ht="40.049999999999997" customHeight="1" thickTop="1" thickBot="1">
      <c r="B25" s="28"/>
      <c r="C25" s="29"/>
      <c r="D25" s="38"/>
      <c r="E25" s="29"/>
      <c r="F25" s="35">
        <v>14</v>
      </c>
      <c r="G25" s="36">
        <v>8</v>
      </c>
      <c r="H25" s="36">
        <v>10</v>
      </c>
      <c r="I25" s="36">
        <v>12</v>
      </c>
      <c r="J25" s="36">
        <f>SUM(الجدول14[[#This Row],[الأول متوسط]:[الثالث متوسط]])</f>
        <v>30</v>
      </c>
      <c r="K25" s="37" t="s">
        <v>25</v>
      </c>
      <c r="L25" s="33"/>
    </row>
    <row r="26" spans="2:12" ht="40.049999999999997" customHeight="1" thickTop="1" thickBot="1">
      <c r="B26" s="28"/>
      <c r="C26" s="29"/>
      <c r="D26" s="38"/>
      <c r="E26" s="29"/>
      <c r="F26" s="35">
        <v>15</v>
      </c>
      <c r="G26" s="36">
        <v>8</v>
      </c>
      <c r="H26" s="36">
        <v>9</v>
      </c>
      <c r="I26" s="36">
        <v>12</v>
      </c>
      <c r="J26" s="36">
        <f>SUM(الجدول14[[#This Row],[الأول متوسط]:[الثالث متوسط]])</f>
        <v>29</v>
      </c>
      <c r="K26" s="37" t="s">
        <v>26</v>
      </c>
      <c r="L26" s="33"/>
    </row>
    <row r="27" spans="2:12" ht="40.049999999999997" customHeight="1" thickTop="1" thickBot="1">
      <c r="B27" s="28"/>
      <c r="C27" s="29"/>
      <c r="D27" s="29"/>
      <c r="E27" s="29"/>
      <c r="F27" s="35">
        <v>16</v>
      </c>
      <c r="G27" s="36">
        <v>8</v>
      </c>
      <c r="H27" s="36">
        <v>9</v>
      </c>
      <c r="I27" s="36">
        <v>12</v>
      </c>
      <c r="J27" s="36">
        <f>SUM(الجدول14[[#This Row],[الأول متوسط]:[الثالث متوسط]])</f>
        <v>29</v>
      </c>
      <c r="K27" s="37" t="s">
        <v>13</v>
      </c>
      <c r="L27" s="33"/>
    </row>
    <row r="28" spans="2:12" ht="40.049999999999997" customHeight="1" thickTop="1" thickBot="1">
      <c r="B28" s="28"/>
      <c r="C28" s="29"/>
      <c r="D28" s="29"/>
      <c r="E28" s="29"/>
      <c r="F28" s="35">
        <v>17</v>
      </c>
      <c r="G28" s="36">
        <v>8</v>
      </c>
      <c r="H28" s="36">
        <v>9</v>
      </c>
      <c r="I28" s="36">
        <v>12</v>
      </c>
      <c r="J28" s="36">
        <f>SUM(الجدول14[[#This Row],[الأول متوسط]:[الثالث متوسط]])</f>
        <v>29</v>
      </c>
      <c r="K28" s="37" t="s">
        <v>17</v>
      </c>
      <c r="L28" s="33"/>
    </row>
    <row r="29" spans="2:12" ht="40.049999999999997" customHeight="1" thickTop="1" thickBot="1">
      <c r="B29" s="28"/>
      <c r="C29" s="29"/>
      <c r="D29" s="29"/>
      <c r="E29" s="29"/>
      <c r="F29" s="35">
        <v>18</v>
      </c>
      <c r="G29" s="36">
        <v>8</v>
      </c>
      <c r="H29" s="36">
        <v>9</v>
      </c>
      <c r="I29" s="36">
        <v>12</v>
      </c>
      <c r="J29" s="36">
        <f>SUM(الجدول14[[#This Row],[الأول متوسط]:[الثالث متوسط]])</f>
        <v>29</v>
      </c>
      <c r="K29" s="37" t="s">
        <v>16</v>
      </c>
      <c r="L29" s="33"/>
    </row>
    <row r="30" spans="2:12" ht="40.049999999999997" customHeight="1" thickTop="1" thickBot="1">
      <c r="B30" s="28"/>
      <c r="C30" s="29"/>
      <c r="D30" s="29"/>
      <c r="E30" s="29"/>
      <c r="F30" s="35">
        <v>19</v>
      </c>
      <c r="G30" s="36">
        <v>8</v>
      </c>
      <c r="H30" s="36">
        <v>9</v>
      </c>
      <c r="I30" s="36">
        <v>12</v>
      </c>
      <c r="J30" s="36">
        <f>SUM(الجدول14[[#This Row],[الأول متوسط]:[الثالث متوسط]])</f>
        <v>29</v>
      </c>
      <c r="K30" s="37"/>
      <c r="L30" s="33"/>
    </row>
    <row r="31" spans="2:12" ht="40.049999999999997" customHeight="1" thickTop="1" thickBot="1">
      <c r="B31" s="28"/>
      <c r="C31" s="29"/>
      <c r="D31" s="29"/>
      <c r="E31" s="29"/>
      <c r="F31" s="35">
        <v>20</v>
      </c>
      <c r="G31" s="36">
        <v>8</v>
      </c>
      <c r="H31" s="36">
        <v>8</v>
      </c>
      <c r="I31" s="36">
        <v>12</v>
      </c>
      <c r="J31" s="36">
        <f>SUM(الجدول14[[#This Row],[الأول متوسط]:[الثالث متوسط]])</f>
        <v>28</v>
      </c>
      <c r="K31" s="37"/>
      <c r="L31" s="33"/>
    </row>
    <row r="32" spans="2:12" ht="40.049999999999997" customHeight="1" thickTop="1" thickBot="1">
      <c r="B32" s="28"/>
      <c r="C32" s="29"/>
      <c r="D32" s="29"/>
      <c r="E32" s="29"/>
      <c r="F32" s="36" t="s">
        <v>8</v>
      </c>
      <c r="G32" s="43">
        <f>SUM(G12:G31)</f>
        <v>160</v>
      </c>
      <c r="H32" s="43">
        <f>SUM(H12:H31)</f>
        <v>193</v>
      </c>
      <c r="I32" s="43">
        <f>SUM(I12:I31)</f>
        <v>233</v>
      </c>
      <c r="J32" s="43">
        <f>SUM(الجدول14[عدد الطلاب])</f>
        <v>586</v>
      </c>
      <c r="K32" s="44"/>
      <c r="L32" s="33"/>
    </row>
    <row r="33" spans="2:12" ht="28.15" thickTop="1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3"/>
    </row>
    <row r="34" spans="2:12" ht="28.15" thickBot="1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2:12" ht="13.9" thickTop="1"/>
  </sheetData>
  <mergeCells count="5">
    <mergeCell ref="B20:C20"/>
    <mergeCell ref="N13:O13"/>
    <mergeCell ref="B14:C14"/>
    <mergeCell ref="B16:C16"/>
    <mergeCell ref="B18:C18"/>
  </mergeCells>
  <conditionalFormatting sqref="G32">
    <cfRule type="expression" dxfId="3" priority="4">
      <formula>$G$32=$D$14</formula>
    </cfRule>
  </conditionalFormatting>
  <conditionalFormatting sqref="H32">
    <cfRule type="expression" dxfId="2" priority="3">
      <formula>$H$32=$D$16</formula>
    </cfRule>
  </conditionalFormatting>
  <conditionalFormatting sqref="I32">
    <cfRule type="expression" dxfId="1" priority="2">
      <formula>$I$32=$D$18</formula>
    </cfRule>
  </conditionalFormatting>
  <conditionalFormatting sqref="J32">
    <cfRule type="expression" dxfId="0" priority="1">
      <formula>$J$32=$D$20</formula>
    </cfRule>
  </conditionalFormatting>
  <pageMargins left="0.25" right="0.25" top="1.77" bottom="0.75" header="0.3" footer="0.3"/>
  <pageSetup paperSize="9" scale="51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ورقة1</vt:lpstr>
      <vt:lpstr>ورقة1 (2)</vt:lpstr>
      <vt:lpstr>ورقة1!Print_Area</vt:lpstr>
      <vt:lpstr>'ورقة1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</dc:creator>
  <cp:lastModifiedBy>ياسر الحميدي</cp:lastModifiedBy>
  <cp:lastPrinted>2024-05-22T10:04:33Z</cp:lastPrinted>
  <dcterms:created xsi:type="dcterms:W3CDTF">2015-12-14T07:30:19Z</dcterms:created>
  <dcterms:modified xsi:type="dcterms:W3CDTF">2025-02-06T17:53:19Z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192 192 2736 1824</vt:lpwstr>
  </property>
</Properties>
</file>